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s 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Book Antiqua"/>
      <b val="1"/>
      <sz val="16"/>
    </font>
    <font>
      <name val="Book Antiqua"/>
      <b val="1"/>
      <sz val="11"/>
    </font>
    <font>
      <name val="Book Antiqua"/>
      <b val="1"/>
      <sz val="14"/>
    </font>
    <font>
      <name val="Calibri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FF5B9BD5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A9D08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top"/>
    </xf>
    <xf numFmtId="0" fontId="3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cols>
    <col width="7.14" customWidth="1" min="1" max="1"/>
    <col width="30.14" customWidth="1" min="2" max="2"/>
    <col width="19.29" customWidth="1" min="3" max="3"/>
    <col width="32.29" customWidth="1" min="4" max="4"/>
    <col width="15" customWidth="1" min="5" max="5"/>
    <col width="13.43" customWidth="1" min="6" max="6"/>
    <col width="15" customWidth="1" min="7" max="7"/>
    <col width="13.14" customWidth="1" min="8" max="8"/>
    <col width="13" customWidth="1" min="9" max="9"/>
    <col width="14.86" customWidth="1" min="10" max="10"/>
    <col width="28.43" customWidth="1" min="11" max="11"/>
    <col width="13.57" customWidth="1" min="12" max="12"/>
    <col width="31.86" customWidth="1" min="13" max="13"/>
    <col width="17" customWidth="1" min="14" max="14"/>
    <col width="14.86" customWidth="1" min="15" max="15"/>
    <col width="13" customWidth="1" min="16" max="16"/>
    <col width="13" customWidth="1" min="17" max="17"/>
    <col width="18.43" customWidth="1" min="18" max="18"/>
    <col width="11.14" customWidth="1" min="19" max="19"/>
    <col width="19.14" customWidth="1" min="20" max="20"/>
    <col width="24.57" customWidth="1" min="21" max="21"/>
  </cols>
  <sheetData>
    <row r="1" ht="20" customHeight="1">
      <c r="A1" s="1" t="inlineStr">
        <is>
          <t>Mass Balance Sheet</t>
        </is>
      </c>
    </row>
    <row r="2" ht="20" customHeight="1"/>
    <row r="3" ht="20.25" customHeight="1">
      <c r="A3" s="1" t="n"/>
      <c r="B3" s="2" t="inlineStr">
        <is>
          <t>Production Capacity :</t>
        </is>
      </c>
      <c r="K3" s="3" t="inlineStr">
        <is>
          <t>Storage Capacity :</t>
        </is>
      </c>
    </row>
    <row r="4" ht="18.75" customHeight="1">
      <c r="A4" s="4" t="inlineStr">
        <is>
          <t xml:space="preserve">Sr.No </t>
        </is>
      </c>
      <c r="B4" s="5" t="inlineStr">
        <is>
          <t>Inword Data [Input TC]</t>
        </is>
      </c>
      <c r="I4" s="6" t="n"/>
      <c r="J4" s="7" t="inlineStr">
        <is>
          <t>Outward Data[ Applied TC] 06.07.26</t>
        </is>
      </c>
      <c r="T4" s="8" t="inlineStr">
        <is>
          <t>Stock Details</t>
        </is>
      </c>
    </row>
    <row r="5" ht="60" customHeight="1">
      <c r="B5" s="4" t="inlineStr">
        <is>
          <t>Suppliers Name [Input TC ]</t>
        </is>
      </c>
      <c r="C5" s="4" t="inlineStr">
        <is>
          <t>Product Name and Quality</t>
        </is>
      </c>
      <c r="D5" s="4" t="inlineStr">
        <is>
          <t>Input TC No (IDFL or Other CB)</t>
        </is>
      </c>
      <c r="E5" s="4" t="inlineStr">
        <is>
          <t>Certified Weight(Kg)</t>
        </is>
      </c>
      <c r="F5" s="4" t="inlineStr">
        <is>
          <t>Net Wt (Kg.)</t>
        </is>
      </c>
      <c r="G5" s="4" t="inlineStr">
        <is>
          <t>Gross Weight (Kg.)</t>
        </is>
      </c>
      <c r="H5" s="4" t="inlineStr">
        <is>
          <t>Lot No/Batch No</t>
        </is>
      </c>
      <c r="I5" s="4" t="inlineStr">
        <is>
          <t>Open Stock in Kgs.</t>
        </is>
      </c>
      <c r="J5" s="9" t="inlineStr">
        <is>
          <t>Consumed wt/ Raw Material used [ Kg]</t>
        </is>
      </c>
      <c r="K5" s="9" t="inlineStr">
        <is>
          <t>Product Name</t>
        </is>
      </c>
      <c r="L5" s="9" t="inlineStr">
        <is>
          <t>Loss(%)</t>
        </is>
      </c>
      <c r="M5" s="9" t="inlineStr">
        <is>
          <t>Buyers Name</t>
        </is>
      </c>
      <c r="N5" s="9" t="inlineStr">
        <is>
          <t>Invoice No.</t>
        </is>
      </c>
      <c r="O5" s="9" t="inlineStr">
        <is>
          <t>Net weight[Kg]</t>
        </is>
      </c>
      <c r="P5" s="9" t="inlineStr">
        <is>
          <t>Certified Weight(Kg)</t>
        </is>
      </c>
      <c r="Q5" s="9" t="inlineStr">
        <is>
          <t>Gross Weight(Kg)</t>
        </is>
      </c>
      <c r="R5" s="9" t="inlineStr">
        <is>
          <t>Transport Details(BL No/Challan No)</t>
        </is>
      </c>
      <c r="S5" s="9" t="inlineStr">
        <is>
          <t>Standard</t>
        </is>
      </c>
      <c r="T5" s="10" t="inlineStr">
        <is>
          <t>Applied IDFL TC Id.</t>
        </is>
      </c>
      <c r="U5" s="10" t="inlineStr">
        <is>
          <t>Remaining Raw Material in Input TC(Kg)</t>
        </is>
      </c>
    </row>
    <row r="6" ht="100" customHeight="1">
      <c r="A6" s="11" t="n">
        <v>1</v>
      </c>
      <c r="B6" s="12" t="inlineStr">
        <is>
          <t>Alliance Fibres Private Limited</t>
        </is>
      </c>
      <c r="C6" s="13" t="inlineStr">
        <is>
          <t>Greige Yarns (PC0030)
Filament (PD0069)
100% Recycled Post-Consumer Polyester (RM0189)</t>
        </is>
      </c>
      <c r="D6" s="12" t="inlineStr">
        <is>
          <t>IDF-26-1026747</t>
        </is>
      </c>
      <c r="E6" s="14" t="n">
        <v>67024.83</v>
      </c>
      <c r="F6" s="14" t="n">
        <v>67024.83</v>
      </c>
      <c r="G6" s="14" t="n">
        <v>71531.22</v>
      </c>
      <c r="H6" s="12" t="inlineStr"/>
      <c r="I6" s="14" t="n">
        <v>10070.6</v>
      </c>
      <c r="J6" s="14" t="n">
        <v>304.56</v>
      </c>
      <c r="K6" s="15" t="inlineStr">
        <is>
          <t>Greige Yarns (PC0030) - Filament (PD0069) - 100% Recycled Post-Consumer Polyester (RM0189)</t>
        </is>
      </c>
      <c r="L6" s="16">
        <f>(1-P6/J6)*100</f>
        <v/>
      </c>
      <c r="M6" s="15" t="inlineStr">
        <is>
          <t>CENTURY OVERSEAS**</t>
        </is>
      </c>
      <c r="N6" s="15" t="inlineStr">
        <is>
          <t>GC00922/26</t>
        </is>
      </c>
      <c r="O6" s="14" t="n">
        <v>291.87</v>
      </c>
      <c r="P6" s="14" t="n">
        <v>291.87</v>
      </c>
      <c r="Q6" s="14" t="n">
        <v>298</v>
      </c>
      <c r="R6" s="15" t="inlineStr">
        <is>
          <t>602122296389</t>
        </is>
      </c>
      <c r="S6" s="15" t="inlineStr">
        <is>
          <t>GRS</t>
        </is>
      </c>
      <c r="T6" s="15" t="inlineStr"/>
      <c r="U6" s="14">
        <f>I6-J6</f>
        <v/>
      </c>
    </row>
    <row r="7" ht="100" customHeight="1">
      <c r="A7" s="15" t="n"/>
      <c r="B7" s="15" t="n"/>
      <c r="C7" s="15" t="n"/>
      <c r="D7" s="15" t="n"/>
      <c r="E7" s="15" t="n"/>
      <c r="F7" s="15" t="n"/>
      <c r="G7" s="15" t="n"/>
      <c r="H7" s="15" t="n"/>
      <c r="I7" s="17">
        <f>U6</f>
        <v/>
      </c>
      <c r="J7" s="14" t="n">
        <v>219.22</v>
      </c>
      <c r="K7" s="15" t="inlineStr">
        <is>
          <t>Greige Yarns (PC0030) - Filament (PD0069) - 100% Recycled Post-Consumer Polyester (RM0189)</t>
        </is>
      </c>
      <c r="L7" s="16">
        <f>(1-P7/J7)*100</f>
        <v/>
      </c>
      <c r="M7" s="15" t="inlineStr">
        <is>
          <t>INDIA FAB</t>
        </is>
      </c>
      <c r="N7" s="15" t="inlineStr">
        <is>
          <t>GC00940/26</t>
        </is>
      </c>
      <c r="O7" s="14" t="n">
        <v>210.09</v>
      </c>
      <c r="P7" s="14" t="n">
        <v>210.09</v>
      </c>
      <c r="Q7" s="14" t="n">
        <v>214.51</v>
      </c>
      <c r="R7" s="15" t="inlineStr">
        <is>
          <t>602123018852</t>
        </is>
      </c>
      <c r="S7" s="15" t="inlineStr">
        <is>
          <t>GRS</t>
        </is>
      </c>
      <c r="T7" s="15" t="inlineStr"/>
      <c r="U7" s="14">
        <f>I7-J7</f>
        <v/>
      </c>
    </row>
    <row r="8" ht="100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7">
        <f>U7</f>
        <v/>
      </c>
      <c r="J8" s="14" t="n">
        <v>224.16</v>
      </c>
      <c r="K8" s="15" t="inlineStr">
        <is>
          <t>Greige Yarns (PC0030) - Filament (PD0069) - 100% Recycled Post-Consumer Polyester (RM0189)</t>
        </is>
      </c>
      <c r="L8" s="16">
        <f>(1-P8/J8)*100</f>
        <v/>
      </c>
      <c r="M8" s="15" t="inlineStr">
        <is>
          <t>INDIA FAB</t>
        </is>
      </c>
      <c r="N8" s="15" t="inlineStr">
        <is>
          <t>GC01011/26</t>
        </is>
      </c>
      <c r="O8" s="14" t="n">
        <v>214.83</v>
      </c>
      <c r="P8" s="14" t="n">
        <v>214.83</v>
      </c>
      <c r="Q8" s="14" t="n">
        <v>219.34</v>
      </c>
      <c r="R8" s="15" t="inlineStr">
        <is>
          <t>622126242665</t>
        </is>
      </c>
      <c r="S8" s="15" t="inlineStr">
        <is>
          <t>GRS</t>
        </is>
      </c>
      <c r="T8" s="15" t="inlineStr"/>
      <c r="U8" s="14">
        <f>I8-J8</f>
        <v/>
      </c>
    </row>
    <row r="9" ht="100" customHeight="1">
      <c r="A9" s="15" t="n"/>
      <c r="B9" s="15" t="n"/>
      <c r="C9" s="15" t="n"/>
      <c r="D9" s="15" t="n"/>
      <c r="E9" s="15" t="n"/>
      <c r="F9" s="15" t="n"/>
      <c r="G9" s="15" t="n"/>
      <c r="H9" s="15" t="n"/>
      <c r="I9" s="17">
        <f>U8</f>
        <v/>
      </c>
      <c r="J9" s="14" t="n">
        <v>103.64</v>
      </c>
      <c r="K9" s="15" t="inlineStr">
        <is>
          <t>Greige Yarns (PC0030) - Filament (PD0069) - 100% Recycled Post-Consumer Polyester (RM0189)</t>
        </is>
      </c>
      <c r="L9" s="16">
        <f>(1-P9/J9)*100</f>
        <v/>
      </c>
      <c r="M9" s="15" t="inlineStr">
        <is>
          <t>SHAHI EXPORT PRIVATE LIMITED.-P.NO.1</t>
        </is>
      </c>
      <c r="N9" s="15" t="inlineStr">
        <is>
          <t>GF00882/26</t>
        </is>
      </c>
      <c r="O9" s="14" t="n">
        <v>99.31999999999999</v>
      </c>
      <c r="P9" s="14" t="n">
        <v>99.31999999999999</v>
      </c>
      <c r="Q9" s="14" t="n">
        <v>101.4</v>
      </c>
      <c r="R9" s="15" t="inlineStr">
        <is>
          <t>612126329051</t>
        </is>
      </c>
      <c r="S9" s="15" t="inlineStr">
        <is>
          <t>GRS</t>
        </is>
      </c>
      <c r="T9" s="15" t="inlineStr"/>
      <c r="U9" s="14">
        <f>I9-J9</f>
        <v/>
      </c>
    </row>
    <row r="10" ht="100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7">
        <f>U9</f>
        <v/>
      </c>
      <c r="J10" s="14" t="n">
        <v>569.9</v>
      </c>
      <c r="K10" s="15" t="inlineStr">
        <is>
          <t>Greige Yarns (PC0030) - Filament (PD0069) - 100% Recycled Post-Consumer Polyester (RM0189)</t>
        </is>
      </c>
      <c r="L10" s="16">
        <f>(1-P10/J10)*100</f>
        <v/>
      </c>
      <c r="M10" s="15" t="inlineStr">
        <is>
          <t>Saran Garments</t>
        </is>
      </c>
      <c r="N10" s="15" t="inlineStr">
        <is>
          <t>GF00951/26</t>
        </is>
      </c>
      <c r="O10" s="14" t="n">
        <v>546.16</v>
      </c>
      <c r="P10" s="14" t="n">
        <v>546.16</v>
      </c>
      <c r="Q10" s="14" t="n">
        <v>557.63</v>
      </c>
      <c r="R10" s="15" t="inlineStr">
        <is>
          <t>612128968092</t>
        </is>
      </c>
      <c r="S10" s="15" t="inlineStr">
        <is>
          <t>GRS</t>
        </is>
      </c>
      <c r="T10" s="15" t="inlineStr"/>
      <c r="U10" s="14">
        <f>I10-J10</f>
        <v/>
      </c>
    </row>
    <row r="11" ht="100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7">
        <f>U10</f>
        <v/>
      </c>
      <c r="J11" s="14" t="n">
        <v>390.91</v>
      </c>
      <c r="K11" s="15" t="inlineStr">
        <is>
          <t>Greige Yarns (PC0030) - Filament (PD0069) - 100% Recycled Post-Consumer Polyester (RM0189)</t>
        </is>
      </c>
      <c r="L11" s="16">
        <f>(1-P11/J11)*100</f>
        <v/>
      </c>
      <c r="M11" s="15" t="inlineStr">
        <is>
          <t>Saran Garments</t>
        </is>
      </c>
      <c r="N11" s="15" t="inlineStr">
        <is>
          <t>GF00952/26</t>
        </is>
      </c>
      <c r="O11" s="14" t="n">
        <v>374.63</v>
      </c>
      <c r="P11" s="14" t="n">
        <v>374.63</v>
      </c>
      <c r="Q11" s="14" t="n">
        <v>382.49</v>
      </c>
      <c r="R11" s="15" t="inlineStr">
        <is>
          <t>682128969690</t>
        </is>
      </c>
      <c r="S11" s="15" t="inlineStr">
        <is>
          <t>GRS</t>
        </is>
      </c>
      <c r="T11" s="15" t="inlineStr"/>
      <c r="U11" s="14">
        <f>I11-J11</f>
        <v/>
      </c>
    </row>
    <row r="12" ht="100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7">
        <f>U11</f>
        <v/>
      </c>
      <c r="J12" s="14" t="n">
        <v>374.91</v>
      </c>
      <c r="K12" s="15" t="inlineStr">
        <is>
          <t>Greige Yarns (PC0030) - Filament (PD0069) - 100% Recycled Post-Consumer Polyester (RM0189)</t>
        </is>
      </c>
      <c r="L12" s="16">
        <f>(1-P12/J12)*100</f>
        <v/>
      </c>
      <c r="M12" s="15" t="inlineStr">
        <is>
          <t>Saran Garments</t>
        </is>
      </c>
      <c r="N12" s="15" t="inlineStr">
        <is>
          <t>GF00959/26</t>
        </is>
      </c>
      <c r="O12" s="14" t="n">
        <v>359.29</v>
      </c>
      <c r="P12" s="14" t="n">
        <v>359.29</v>
      </c>
      <c r="Q12" s="14" t="n">
        <v>366.84</v>
      </c>
      <c r="R12" s="15" t="inlineStr">
        <is>
          <t>672129547588</t>
        </is>
      </c>
      <c r="S12" s="15" t="inlineStr">
        <is>
          <t>GRS</t>
        </is>
      </c>
      <c r="T12" s="15" t="inlineStr"/>
      <c r="U12" s="14">
        <f>I12-J12</f>
        <v/>
      </c>
    </row>
    <row r="13" ht="100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7">
        <f>U12</f>
        <v/>
      </c>
      <c r="J13" s="14" t="n">
        <v>770.09</v>
      </c>
      <c r="K13" s="15" t="inlineStr">
        <is>
          <t>Greige Yarns (PC0030) - Filament (PD0069) - 100% Recycled Post-Consumer Polyester (RM0189)</t>
        </is>
      </c>
      <c r="L13" s="16">
        <f>(1-P13/J13)*100</f>
        <v/>
      </c>
      <c r="M13" s="15" t="inlineStr">
        <is>
          <t>Saran Garments</t>
        </is>
      </c>
      <c r="N13" s="15" t="inlineStr">
        <is>
          <t>GF00980/26</t>
        </is>
      </c>
      <c r="O13" s="14" t="n">
        <v>738.02</v>
      </c>
      <c r="P13" s="14" t="n">
        <v>738.02</v>
      </c>
      <c r="Q13" s="14" t="n">
        <v>753</v>
      </c>
      <c r="R13" s="15" t="inlineStr">
        <is>
          <t>652130340545</t>
        </is>
      </c>
      <c r="S13" s="15" t="inlineStr">
        <is>
          <t>GRS</t>
        </is>
      </c>
      <c r="T13" s="15" t="inlineStr"/>
      <c r="U13" s="14">
        <f>I13-J13</f>
        <v/>
      </c>
    </row>
    <row r="14" ht="45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7">
        <f>U13</f>
        <v/>
      </c>
      <c r="J14" s="14" t="n">
        <v>439.84</v>
      </c>
      <c r="K14" s="15" t="inlineStr">
        <is>
          <t>Greige Yarns (PC0030) - Filament (PD0069) - 100% Recycled Post-Consumer Polyester (RM0189)</t>
        </is>
      </c>
      <c r="L14" s="16">
        <f>(1-P14/J14)*100</f>
        <v/>
      </c>
      <c r="M14" s="15" t="inlineStr">
        <is>
          <t>Saran Garments</t>
        </is>
      </c>
      <c r="N14" s="15" t="inlineStr">
        <is>
          <t>GF00976/26</t>
        </is>
      </c>
      <c r="O14" s="14" t="n">
        <v>421.52</v>
      </c>
      <c r="P14" s="14" t="n">
        <v>421.52</v>
      </c>
      <c r="Q14" s="14" t="n">
        <v>430.37</v>
      </c>
      <c r="R14" s="15" t="inlineStr">
        <is>
          <t>612130161890</t>
        </is>
      </c>
      <c r="S14" s="15" t="inlineStr">
        <is>
          <t>GRS</t>
        </is>
      </c>
      <c r="T14" s="15" t="inlineStr"/>
      <c r="U14" s="14">
        <f>I14-J14</f>
        <v/>
      </c>
    </row>
    <row r="15" ht="45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7">
        <f>U14</f>
        <v/>
      </c>
      <c r="J15" s="14" t="n">
        <v>90.03</v>
      </c>
      <c r="K15" s="15" t="inlineStr">
        <is>
          <t>Greige Yarns (PC0030) - Filament (PD0069) - 100% Recycled Post-Consumer Polyester (RM0189)</t>
        </is>
      </c>
      <c r="L15" s="16">
        <f>(1-P15/J15)*100</f>
        <v/>
      </c>
      <c r="M15" s="15" t="inlineStr">
        <is>
          <t>SHAHI EXPORT PRIVATE LIMITED.-P.NO.1</t>
        </is>
      </c>
      <c r="N15" s="15" t="inlineStr">
        <is>
          <t>GF01095/26</t>
        </is>
      </c>
      <c r="O15" s="14" t="n">
        <v>86.28</v>
      </c>
      <c r="P15" s="14" t="n">
        <v>86.28</v>
      </c>
      <c r="Q15" s="14" t="n">
        <v>88.09</v>
      </c>
      <c r="R15" s="15" t="inlineStr">
        <is>
          <t>622135285411</t>
        </is>
      </c>
      <c r="S15" s="15" t="inlineStr">
        <is>
          <t>GRS</t>
        </is>
      </c>
      <c r="T15" s="15" t="inlineStr"/>
      <c r="U15" s="14">
        <f>I15-J15</f>
        <v/>
      </c>
    </row>
    <row r="16" ht="45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7">
        <f>U15</f>
        <v/>
      </c>
      <c r="J16" s="14" t="n">
        <v>104.85</v>
      </c>
      <c r="K16" s="15" t="inlineStr">
        <is>
          <t>Greige Yarns (PC0030) - Filament (PD0069) - 100% Recycled Post-Consumer Polyester (RM0189)</t>
        </is>
      </c>
      <c r="L16" s="16">
        <f>(1-P16/J16)*100</f>
        <v/>
      </c>
      <c r="M16" s="15" t="inlineStr">
        <is>
          <t>SHAHI EXPORT PRIVATE LIMITED.-P.NO.1</t>
        </is>
      </c>
      <c r="N16" s="15" t="inlineStr">
        <is>
          <t>GF01110/26</t>
        </is>
      </c>
      <c r="O16" s="14" t="n">
        <v>100.48</v>
      </c>
      <c r="P16" s="14" t="n">
        <v>100.48</v>
      </c>
      <c r="Q16" s="14" t="n">
        <v>102.59</v>
      </c>
      <c r="R16" s="15" t="inlineStr">
        <is>
          <t>692135818119</t>
        </is>
      </c>
      <c r="S16" s="15" t="inlineStr">
        <is>
          <t>GRS</t>
        </is>
      </c>
      <c r="T16" s="15" t="inlineStr"/>
      <c r="U16" s="14">
        <f>I16-J16</f>
        <v/>
      </c>
    </row>
    <row r="17" ht="45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</row>
    <row r="18" ht="45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</row>
    <row r="19" ht="45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</row>
    <row r="20" ht="16.5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</row>
    <row r="21" ht="16.5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</row>
    <row r="22" ht="16.5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</row>
    <row r="23" ht="16.5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</row>
    <row r="24" ht="16.5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</row>
    <row r="25" ht="16.5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</row>
    <row r="26" ht="16.5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</row>
    <row r="27" ht="16.5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</row>
    <row r="28" ht="16.5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</row>
    <row r="29" ht="16.5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</row>
    <row r="30" ht="16.5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</row>
    <row r="31" ht="16.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</row>
    <row r="32" ht="16.5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</row>
    <row r="33" ht="16.5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</row>
    <row r="34" ht="16.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</row>
    <row r="35" ht="16.5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</row>
  </sheetData>
  <mergeCells count="7">
    <mergeCell ref="K3:U3"/>
    <mergeCell ref="B3:J3"/>
    <mergeCell ref="A4:A5"/>
    <mergeCell ref="B4:H4"/>
    <mergeCell ref="J4:S4"/>
    <mergeCell ref="A1:U2"/>
    <mergeCell ref="T4:U4"/>
  </mergeCells>
  <pageMargins left="0.7" right="0.7" top="0.75" bottom="0.75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2026-07-06T06:01:32Z</dcterms:created>
  <dcterms:modified xsi:type="dcterms:W3CDTF">2026-07-06T06:01:32Z</dcterms:modified>
</cp:coreProperties>
</file>